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yb\Desktop\体检平台测试数据\"/>
    </mc:Choice>
  </mc:AlternateContent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zyb</author>
  </authors>
  <commentList>
    <comment ref="C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请仔细填写身份证信息避免错误；</t>
        </r>
      </text>
    </comment>
    <comment ref="E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日期格式：例2026-08-13</t>
        </r>
      </text>
    </comment>
    <comment ref="F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日期格式：例2026-08-13</t>
        </r>
      </text>
    </comment>
    <comment ref="H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员工类型只有正式员工需要体检，实习生（校招实习生）不需要体检</t>
        </r>
      </text>
    </comment>
    <comment ref="J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日期格式：例2026-08-13</t>
        </r>
      </text>
    </comment>
    <comment ref="K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日期格式：例2026-08-13
</t>
        </r>
      </text>
    </comment>
    <comment ref="Q2" authorId="0">
      <text>
        <r>
          <rPr>
            <b/>
            <sz val="9"/>
            <rFont val="宋体"/>
            <charset val="134"/>
          </rPr>
          <t>zyb:</t>
        </r>
        <r>
          <rPr>
            <sz val="9"/>
            <rFont val="宋体"/>
            <charset val="134"/>
          </rPr>
          <t xml:space="preserve">
岗位填写业务线名称：如小学lpc、小学辅导、高中极光、1V1拉新、1V1学管</t>
        </r>
      </text>
    </comment>
  </commentList>
</comments>
</file>

<file path=xl/sharedStrings.xml><?xml version="1.0" encoding="utf-8"?>
<sst xmlns="http://schemas.openxmlformats.org/spreadsheetml/2006/main" count="22" uniqueCount="22">
  <si>
    <t>全员必填</t>
  </si>
  <si>
    <t>批量体检抢占名额必填</t>
  </si>
  <si>
    <t>序号</t>
  </si>
  <si>
    <t>体检人姓名</t>
  </si>
  <si>
    <t>身份证号</t>
  </si>
  <si>
    <t>手机号</t>
  </si>
  <si>
    <t>拟入职时间
（合同签订时间）</t>
  </si>
  <si>
    <t>办理入职时间</t>
  </si>
  <si>
    <t>工作地</t>
  </si>
  <si>
    <t>员工分类</t>
  </si>
  <si>
    <t>名单提供人
（招聘负责人）</t>
  </si>
  <si>
    <t>提供日期</t>
  </si>
  <si>
    <t>体检日期</t>
  </si>
  <si>
    <t>体检时间</t>
  </si>
  <si>
    <t>体检地址</t>
  </si>
  <si>
    <t>性别</t>
  </si>
  <si>
    <t>性别验证</t>
  </si>
  <si>
    <t>身份证号验证</t>
  </si>
  <si>
    <t>岗位</t>
  </si>
  <si>
    <t>武汉市</t>
  </si>
  <si>
    <t>正式员工</t>
  </si>
  <si>
    <t>武汉市洪山区关山一路124号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</si>
</sst>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5" borderId="11">
      <alignment vertical="center"/>
    </xf>
    <xf numFmtId="0" fontId="14" fillId="6" borderId="12">
      <alignment vertical="center"/>
    </xf>
    <xf numFmtId="0" fontId="15" fillId="6" borderId="11">
      <alignment vertical="center"/>
    </xf>
    <xf numFmtId="0" fontId="16" fillId="7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0" fontId="3" fillId="0" borderId="5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S12" sqref="S12"/>
    </sheetView>
  </sheetViews>
  <sheetFormatPr defaultColWidth="10.6363636363636" defaultRowHeight="14" customHeight="1" outlineLevelRow="2"/>
  <cols>
    <col min="1" max="1" width="6.3" style="1" customWidth="1"/>
    <col min="2" max="2" width="13.0818181818182" style="1" customWidth="1"/>
    <col min="3" max="3" width="30.7272727272727" style="2" customWidth="1"/>
    <col min="4" max="4" width="18.9909090909091" style="1" customWidth="1"/>
    <col min="5" max="5" width="18.7090909090909" style="3" customWidth="1"/>
    <col min="6" max="6" width="15.5181818181818" style="3" customWidth="1"/>
    <col min="7" max="7" width="8.50909090909091" style="1" customWidth="1"/>
    <col min="8" max="8" width="13.0818181818182" style="1" customWidth="1"/>
    <col min="9" max="9" width="16.5454545454545" style="1" customWidth="1"/>
    <col min="10" max="10" width="13.1545454545455" style="1" customWidth="1"/>
    <col min="11" max="11" width="24.4909090909091" style="1" customWidth="1"/>
    <col min="12" max="12" width="10.7181818181818" style="1" customWidth="1"/>
    <col min="13" max="13" width="32.6181818181818" style="1" customWidth="1"/>
    <col min="14" max="15" width="10.9090909090909" style="1" customWidth="1"/>
    <col min="16" max="16" width="21.0545454545455" style="1" customWidth="1"/>
    <col min="17" max="17" width="15.5" style="1" customWidth="1"/>
    <col min="18" max="16384" width="10.6363636363636" style="4"/>
  </cols>
  <sheetData>
    <row r="1" s="1" customFormat="1" ht="16.5" customHeight="1" spans="1:17">
      <c r="A1" s="5" t="s">
        <v>0</v>
      </c>
      <c r="B1" s="5"/>
      <c r="C1" s="6"/>
      <c r="D1" s="5"/>
      <c r="E1" s="5"/>
      <c r="F1" s="5"/>
      <c r="G1" s="5"/>
      <c r="H1" s="5"/>
      <c r="I1" s="5"/>
      <c r="J1" s="5"/>
      <c r="K1" s="7" t="s">
        <v>1</v>
      </c>
      <c r="L1" s="7"/>
      <c r="M1" s="7"/>
      <c r="N1" s="8"/>
      <c r="O1" s="8"/>
      <c r="P1" s="8"/>
      <c r="Q1" s="8"/>
    </row>
    <row r="2" s="1" customFormat="1" ht="33" spans="1:17">
      <c r="A2" s="8" t="s">
        <v>2</v>
      </c>
      <c r="B2" s="8" t="s">
        <v>3</v>
      </c>
      <c r="C2" s="9" t="s">
        <v>4</v>
      </c>
      <c r="D2" s="8" t="s">
        <v>5</v>
      </c>
      <c r="E2" s="10" t="s">
        <v>6</v>
      </c>
      <c r="F2" s="11" t="s">
        <v>7</v>
      </c>
      <c r="G2" s="8" t="s">
        <v>8</v>
      </c>
      <c r="H2" s="8" t="s">
        <v>9</v>
      </c>
      <c r="I2" s="12" t="s">
        <v>10</v>
      </c>
      <c r="J2" s="8" t="s">
        <v>11</v>
      </c>
      <c r="K2" s="8" t="s">
        <v>12</v>
      </c>
      <c r="L2" s="13" t="s">
        <v>13</v>
      </c>
      <c r="M2" s="14" t="s">
        <v>14</v>
      </c>
      <c r="N2" s="14" t="s">
        <v>15</v>
      </c>
      <c r="O2" s="14" t="s">
        <v>16</v>
      </c>
      <c r="P2" s="15" t="s">
        <v>17</v>
      </c>
      <c r="Q2" s="8" t="s">
        <v>18</v>
      </c>
    </row>
    <row r="3" s="1" customFormat="1" ht="16.5" customHeight="1" spans="1:17">
      <c r="A3" s="8">
        <v>1</v>
      </c>
      <c r="B3" s="16"/>
      <c r="C3" s="17"/>
      <c r="D3" s="17"/>
      <c r="E3" s="18"/>
      <c r="F3" s="11"/>
      <c r="G3" s="19" t="s">
        <v>19</v>
      </c>
      <c r="H3" s="19" t="s">
        <v>20</v>
      </c>
      <c r="I3" s="19"/>
      <c r="J3" s="11"/>
      <c r="K3" s="11"/>
      <c r="L3" s="20">
        <v>0.333333333333333</v>
      </c>
      <c r="M3" s="21" t="s">
        <v>21</v>
      </c>
      <c r="N3" s="22"/>
      <c r="O3" s="22" t="e">
        <f>IF(MOD(IF(LEN(C3)=15,MID(C3,15,1),MID(C3,17,1)),2)=1,"男","女")=N3</f>
        <v>#VALUE!</v>
      </c>
      <c r="P3" s="23" t="str">
        <f>IF(NOT(ISERROR(FIND(" ",$C3,1)&gt;0)),"有空格",IF(NOT(AND(OR(LEN($C3)=15,LEN($C3)=18),ISERROR(FIND(" ",$C3,1)))),"位数错误，请核查细节",IF(COUNTIF($C3,$C3&amp;"*")&gt;1,"身份证有重复",IF(AND(LEN($C3)=15,ISERROR(FIND(" ",$C3,1))),"身份证为15位",IF(MID("10X98765432",MOD(MID($C3,1,1)*2^17+MID($C3,2,1)*2^16+MID($C3,3,1)*2^15+MID($C3,4,1)*2^14+MID($C3,5,1)*2^13+MID($C3,6,1)*2^12+MID($C3,7,1)*2^11+MID($C3,8,1)*2^10+MID($C3,9,1)*2^9+MID($C3,10,1)*2^8+MID($C3,11,1)*2^7+MID($C3,12,1)*2^6+MID($C3,13,1)*2^5+MID($C3,14,1)*2^4+MID($C3,15,1)*2^3+MID($C3,16,1)*2^2+MID($C3,17,1)*2^1,11)+1,1)&lt;&gt;RIGHT($C3,1),"18位身份证校验码错误","正确")))))</f>
        <v>位数错误，请核查细节</v>
      </c>
      <c r="Q3" s="19"/>
    </row>
  </sheetData>
  <mergeCells count="2">
    <mergeCell ref="A1:J1"/>
    <mergeCell ref="K1:M1"/>
  </mergeCells>
  <conditionalFormatting sqref="B1">
    <cfRule type="expression" dxfId="0" priority="58">
      <formula>AND(SUMPRODUCT(IFERROR(1*(($B$1&amp;"x")=(B1&amp;"x")),0))&gt;1,NOT(ISBLANK(B1)))</formula>
    </cfRule>
  </conditionalFormatting>
  <conditionalFormatting sqref="B3">
    <cfRule type="duplicateValues" dxfId="1" priority="1"/>
  </conditionalFormatting>
  <conditionalFormatting sqref="B2 B4:B1048576">
    <cfRule type="duplicateValues" dxfId="1" priority="59"/>
  </conditionalFormatting>
  <dataValidations count="1">
    <dataValidation type="list" allowBlank="1" showInputMessage="1" showErrorMessage="1" sqref="Q3">
      <formula1>"小学lpc,小学辅导,高中极光,1v1学管,1v1拉新"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zyb</dc:creator>
  <cp:lastModifiedBy>蔡徐坤老伴</cp:lastModifiedBy>
  <dcterms:created xsi:type="dcterms:W3CDTF">2023-05-12T11:15:00Z</dcterms:created>
  <dcterms:modified xsi:type="dcterms:W3CDTF">2026-08-13T09:45:07Z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1F73C26A837C4EFB9B6B459FB5A0B283_12</vt:lpwstr>
  </property>
  <property fmtid="{D5CDD505-2E9C-101B-9397-08002B2CF9AE}" pid="4" name="CalculationRule">
    <vt:i4>0</vt:i4>
  </property>
</Properties>
</file>